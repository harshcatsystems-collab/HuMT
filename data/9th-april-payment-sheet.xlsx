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<sst xmlns="http://schemas.openxmlformats.org/spreadsheetml/2006/main" count="41" uniqueCount="39">
  <si>
    <t>Vendor Display Name</t>
  </si>
  <si>
    <t>Amount Due</t>
  </si>
  <si>
    <t>Invoice Narration</t>
  </si>
  <si>
    <t>sarvesh - gst</t>
  </si>
  <si>
    <t>GST Amount</t>
  </si>
  <si>
    <t>parveen</t>
  </si>
  <si>
    <t>raj kumar</t>
  </si>
  <si>
    <t>YouTube Thumbnails design services - 15 thumbnails</t>
  </si>
  <si>
    <t>team infinity - gst</t>
  </si>
  <si>
    <t>komal mathur</t>
  </si>
  <si>
    <t xml:space="preserve">Intern </t>
  </si>
  <si>
    <t>darshan</t>
  </si>
  <si>
    <t>Management Consultancy Services provided in the month of March</t>
  </si>
  <si>
    <t>nirpjeet</t>
  </si>
  <si>
    <t>wynaut</t>
  </si>
  <si>
    <t>KASTURI MAJUMDER-MSME</t>
  </si>
  <si>
    <t>Gujrathi dubbing services for movie NAATE - 93 minutes at Rs 800 per minute</t>
  </si>
  <si>
    <t>Ishwara Productions</t>
  </si>
  <si>
    <t>Professional Service Charges for Dubbing of CHAKKA JAAM film (85 minutes) in Haryanvi - 50% payment</t>
  </si>
  <si>
    <t>Priyanshu Raj Sahoo</t>
  </si>
  <si>
    <t>Services for BHOJPURI language content: CHAKKAJAAM (85 min), KAYANTAR (87 min), HUNKAR (172 min), NAATE (93 min) - Total 437 minutes</t>
  </si>
  <si>
    <t>Gyanesh bhardwaj</t>
  </si>
  <si>
    <t>3 Micro dramas editing and basic expenses (Soul Swap, Khatushyam baba, Wife Vs Girlfriend), Travel and food</t>
  </si>
  <si>
    <t>KESARI PRODUCTIONS</t>
  </si>
  <si>
    <t>JAAN LEGI SONAM (RAJSTHANI DUBBING) - SERIES OF 26 EPISODES, 560 minutes @ Rs 900 per minute</t>
  </si>
  <si>
    <t>Ankit bhardwaj</t>
  </si>
  <si>
    <t>Artist services for Kiran Ri Mahendi event in Rajasthan</t>
  </si>
  <si>
    <t>Do Dooni 4 Films LLP-MSME</t>
  </si>
  <si>
    <t>Web series Bhairavi</t>
  </si>
  <si>
    <t>Shubham Gaur - BQDPG5129A</t>
  </si>
  <si>
    <t>Missthaanpuraan Screenplay &amp; Dialogues</t>
  </si>
  <si>
    <t>SRI ADHIKARI BROTHERS DIGITAL NETWORK PVT.LTD</t>
  </si>
  <si>
    <t>Towards the sale of story and screenplay rights assignment of serial Gathbandhan</t>
  </si>
  <si>
    <t>A&amp;I Production</t>
  </si>
  <si>
    <t>Towards Advance for the Project Keshtantra_HR Series_2025</t>
  </si>
  <si>
    <t xml:space="preserve">Nikhil </t>
  </si>
  <si>
    <t xml:space="preserve">Reimbursement </t>
  </si>
  <si>
    <t>Total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</si>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</sst>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</font>
    <font>
      <sz val="12.0"/>
      <color rgb="FF000000"/>
      <name val="Arial"/>
    </font>
    <font>
      <sz val="11.0"/>
      <color theme="1"/>
      <name val="Calibri"/>
    </font>
    <font>
      <color theme="1"/>
      <name val="Arial"/>
      <scheme val="minor"/>
    </font>
    <font>
      <sz val="12.0"/>
      <color theme="1"/>
      <name val="Calibri"/>
    </font>
    <font>
      <sz val="12.0"/>
      <color theme="1"/>
      <name val="Arial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2" fontId="1" numFmtId="0" xfId="0" applyAlignment="1" applyBorder="1" applyFont="1">
      <alignment vertical="bottom"/>
    </xf>
    <xf borderId="1" fillId="2" fontId="1" numFmtId="4" xfId="0" applyAlignment="1" applyBorder="1" applyFont="1" applyNumberFormat="1">
      <alignment vertical="bottom"/>
    </xf>
    <xf borderId="1" fillId="2" fontId="1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4" numFmtId="4" xfId="0" applyAlignment="1" applyFont="1" applyNumberFormat="1">
      <alignment horizontal="right" readingOrder="0" vertical="bottom"/>
    </xf>
    <xf borderId="0" fillId="0" fontId="6" numFmtId="4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3" fontId="2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4" xfId="0" applyAlignment="1" applyFont="1" applyNumberFormat="1">
      <alignment horizontal="right" vertical="bottom"/>
    </xf>
    <xf borderId="0" fillId="0" fontId="3" numFmtId="0" xfId="0" applyAlignment="1" applyFont="1">
      <alignment readingOrder="0" shrinkToFit="0" vertical="bottom" wrapText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4.0"/>
    <col customWidth="1" min="3" max="3" width="16.13"/>
    <col customWidth="1" min="4" max="4" width="96.63"/>
  </cols>
  <sheetData>
    <row r="1">
      <c r="A1" s="1"/>
      <c r="B1" s="2" t="s">
        <v>0</v>
      </c>
      <c r="C1" s="3" t="s">
        <v>1</v>
      </c>
      <c r="D1" s="4" t="s">
        <v>2</v>
      </c>
    </row>
    <row r="2">
      <c r="A2" s="5">
        <v>1.0</v>
      </c>
      <c r="B2" s="6" t="s">
        <v>3</v>
      </c>
      <c r="C2" s="7">
        <v>39002.26</v>
      </c>
      <c r="D2" s="8" t="s">
        <v>4</v>
      </c>
    </row>
    <row r="3">
      <c r="A3" s="9">
        <v>2.0</v>
      </c>
      <c r="B3" s="6" t="s">
        <v>5</v>
      </c>
      <c r="C3" s="10">
        <v>980400.0</v>
      </c>
      <c r="D3" s="8"/>
    </row>
    <row r="4">
      <c r="A4" s="7">
        <v>3.0</v>
      </c>
      <c r="B4" s="6" t="s">
        <v>6</v>
      </c>
      <c r="C4" s="11">
        <v>7500.0</v>
      </c>
      <c r="D4" s="8" t="s">
        <v>7</v>
      </c>
    </row>
    <row r="5">
      <c r="A5" s="7">
        <v>4.0</v>
      </c>
      <c r="B5" s="6" t="s">
        <v>8</v>
      </c>
      <c r="C5" s="9">
        <v>148500.0</v>
      </c>
      <c r="D5" s="8" t="s">
        <v>4</v>
      </c>
    </row>
    <row r="6">
      <c r="A6" s="5">
        <v>5.0</v>
      </c>
      <c r="B6" s="6" t="s">
        <v>9</v>
      </c>
      <c r="C6" s="7">
        <v>15000.0</v>
      </c>
      <c r="D6" s="9" t="s">
        <v>10</v>
      </c>
    </row>
    <row r="7">
      <c r="A7" s="5">
        <v>6.0</v>
      </c>
      <c r="B7" s="6" t="s">
        <v>11</v>
      </c>
      <c r="C7" s="7">
        <v>216000.0</v>
      </c>
      <c r="D7" s="9" t="s">
        <v>12</v>
      </c>
    </row>
    <row r="8">
      <c r="A8" s="5">
        <v>7.0</v>
      </c>
      <c r="B8" s="6" t="s">
        <v>13</v>
      </c>
      <c r="C8" s="12">
        <v>84480.66</v>
      </c>
      <c r="D8" s="9" t="s">
        <v>12</v>
      </c>
    </row>
    <row r="9">
      <c r="A9" s="5">
        <v>8.0</v>
      </c>
      <c r="B9" s="13" t="s">
        <v>14</v>
      </c>
      <c r="C9" s="12">
        <v>1057642.75</v>
      </c>
    </row>
    <row r="10">
      <c r="A10" s="5">
        <v>9.0</v>
      </c>
      <c r="B10" s="14" t="s">
        <v>15</v>
      </c>
      <c r="C10" s="10">
        <v>163425.6</v>
      </c>
      <c r="D10" s="14" t="s">
        <v>16</v>
      </c>
    </row>
    <row r="11">
      <c r="A11" s="5">
        <v>10.0</v>
      </c>
      <c r="B11" s="15" t="s">
        <v>17</v>
      </c>
      <c r="C11" s="16">
        <v>64642.5</v>
      </c>
      <c r="D11" s="14" t="s">
        <v>18</v>
      </c>
    </row>
    <row r="12">
      <c r="A12" s="7">
        <v>11.0</v>
      </c>
      <c r="B12" s="15" t="s">
        <v>19</v>
      </c>
      <c r="C12" s="16">
        <v>302742.0</v>
      </c>
      <c r="D12" s="14" t="s">
        <v>20</v>
      </c>
    </row>
    <row r="13">
      <c r="A13" s="7">
        <v>12.0</v>
      </c>
      <c r="B13" s="15" t="s">
        <v>21</v>
      </c>
      <c r="C13" s="16">
        <v>3677.85</v>
      </c>
      <c r="D13" s="14" t="s">
        <v>22</v>
      </c>
    </row>
    <row r="14">
      <c r="A14" s="7">
        <v>13.0</v>
      </c>
      <c r="B14" s="15" t="s">
        <v>23</v>
      </c>
      <c r="C14" s="10">
        <v>597920.0</v>
      </c>
      <c r="D14" s="14" t="s">
        <v>24</v>
      </c>
    </row>
    <row r="15">
      <c r="A15" s="7">
        <v>14.0</v>
      </c>
      <c r="B15" s="15" t="s">
        <v>25</v>
      </c>
      <c r="C15" s="16">
        <v>59400.0</v>
      </c>
      <c r="D15" s="14" t="s">
        <v>26</v>
      </c>
    </row>
    <row r="16">
      <c r="A16" s="7">
        <v>15.0</v>
      </c>
      <c r="B16" s="15" t="s">
        <v>27</v>
      </c>
      <c r="C16" s="16">
        <f>1206400/2</f>
        <v>603200</v>
      </c>
      <c r="D16" s="8" t="s">
        <v>28</v>
      </c>
    </row>
    <row r="17">
      <c r="A17" s="17">
        <v>16.0</v>
      </c>
      <c r="B17" s="14" t="s">
        <v>29</v>
      </c>
      <c r="C17" s="16">
        <v>59400.0</v>
      </c>
      <c r="D17" s="14" t="s">
        <v>30</v>
      </c>
    </row>
    <row r="18">
      <c r="A18" s="17">
        <v>17.0</v>
      </c>
      <c r="B18" s="14" t="s">
        <v>31</v>
      </c>
      <c r="C18" s="16">
        <v>487200.0</v>
      </c>
      <c r="D18" s="14" t="s">
        <v>32</v>
      </c>
    </row>
    <row r="19">
      <c r="A19" s="9">
        <v>18.0</v>
      </c>
      <c r="B19" s="14" t="s">
        <v>33</v>
      </c>
      <c r="C19" s="10">
        <v>1170000.0</v>
      </c>
      <c r="D19" s="9" t="s">
        <v>34</v>
      </c>
    </row>
    <row r="20">
      <c r="A20" s="9">
        <v>19.0</v>
      </c>
      <c r="B20" s="9" t="s">
        <v>35</v>
      </c>
      <c r="C20" s="9">
        <v>2183.0</v>
      </c>
      <c r="D20" s="9" t="s">
        <v>36</v>
      </c>
    </row>
    <row r="22">
      <c r="B22" s="9" t="s">
        <v>37</v>
      </c>
      <c r="C22" s="18">
        <f>SUM(C2:C21)</f>
        <v>6062316.62</v>
      </c>
    </row>
    <row r="23">
      <c r="C23" s="9" t="s">
        <v>38</v>
      </c>
    </row>
  </sheetData>
  <drawing r:id="rId1"/>
</worksheet>
</file>